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1d6e0d4f8d6683/Desktop/"/>
    </mc:Choice>
  </mc:AlternateContent>
  <xr:revisionPtr revIDLastSave="0" documentId="8_{6703A366-5738-4B58-A337-ACB799A8E406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JAN" sheetId="1" r:id="rId1"/>
    <sheet name="FEB" sheetId="3" r:id="rId2"/>
    <sheet name="MARCH" sheetId="4" r:id="rId3"/>
    <sheet name="APRIL" sheetId="5" r:id="rId4"/>
  </sheets>
  <calcPr calcId="191029"/>
</workbook>
</file>

<file path=xl/calcChain.xml><?xml version="1.0" encoding="utf-8"?>
<calcChain xmlns="http://schemas.openxmlformats.org/spreadsheetml/2006/main">
  <c r="K6" i="5" l="1"/>
  <c r="N5" i="5"/>
  <c r="K4" i="5"/>
  <c r="N3" i="5"/>
  <c r="K3" i="5"/>
  <c r="K2" i="5"/>
  <c r="K6" i="4"/>
  <c r="N5" i="4"/>
  <c r="K4" i="4"/>
  <c r="N3" i="4"/>
  <c r="K3" i="4"/>
  <c r="K2" i="4"/>
  <c r="K6" i="3"/>
  <c r="N5" i="3"/>
  <c r="K4" i="3"/>
  <c r="N3" i="3"/>
  <c r="K3" i="3"/>
  <c r="K2" i="3"/>
  <c r="K6" i="1"/>
  <c r="N5" i="1"/>
  <c r="K4" i="1"/>
  <c r="N3" i="1"/>
  <c r="K3" i="1"/>
  <c r="K2" i="1"/>
  <c r="K5" i="5" l="1"/>
  <c r="K5" i="4"/>
  <c r="K5" i="3"/>
  <c r="K5" i="1"/>
</calcChain>
</file>

<file path=xl/sharedStrings.xml><?xml version="1.0" encoding="utf-8"?>
<sst xmlns="http://schemas.openxmlformats.org/spreadsheetml/2006/main" count="235" uniqueCount="32">
  <si>
    <t>Date</t>
  </si>
  <si>
    <t>Day</t>
  </si>
  <si>
    <t>Pair</t>
  </si>
  <si>
    <t>Session</t>
  </si>
  <si>
    <t>Buy/Sell</t>
  </si>
  <si>
    <t>Result</t>
  </si>
  <si>
    <t>Pips</t>
  </si>
  <si>
    <t>Win</t>
  </si>
  <si>
    <t>Loss</t>
  </si>
  <si>
    <t>TimetradersFx — Trading Journal</t>
  </si>
  <si>
    <t>Track Date, Pair, Session, Result and Pips. Use dropdowns for consistency.</t>
  </si>
  <si>
    <t>Summary</t>
  </si>
  <si>
    <t>Total Trades</t>
  </si>
  <si>
    <t>Wins</t>
  </si>
  <si>
    <t>Losses</t>
  </si>
  <si>
    <t>Win Rate</t>
  </si>
  <si>
    <t>Total Pips</t>
  </si>
  <si>
    <t>Count</t>
  </si>
  <si>
    <t>Brand: TimetradersFx  |  Keep discipline, log notes, and update daily.</t>
  </si>
  <si>
    <t>Monady</t>
  </si>
  <si>
    <t>XAUUSD</t>
  </si>
  <si>
    <t>NYC</t>
  </si>
  <si>
    <t>Buy</t>
  </si>
  <si>
    <t>Tuesday</t>
  </si>
  <si>
    <t>BTCUSD</t>
  </si>
  <si>
    <t>London</t>
  </si>
  <si>
    <t>Sell</t>
  </si>
  <si>
    <t>Wednesday</t>
  </si>
  <si>
    <t>Monday</t>
  </si>
  <si>
    <t>Friday</t>
  </si>
  <si>
    <t>Thursday</t>
  </si>
  <si>
    <t>Thursady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</si>
</sst>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Results: Win / Breakeven /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Trade Results</c:v>
          </c:tx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6E-41D1-9B0F-56E1AE4E49D3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783-4689-9ABE-8D99915503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JAN!$M$3:$M$5</c15:sqref>
                  </c15:fullRef>
                </c:ext>
              </c:extLst>
              <c:f>(JAN!$M$3,JAN!$M$5)</c:f>
              <c:strCache>
                <c:ptCount val="2"/>
                <c:pt idx="0">
                  <c:v>Win</c:v>
                </c:pt>
                <c:pt idx="1">
                  <c:v>Loss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JAN!$N$3:$N$5</c15:sqref>
                  </c15:fullRef>
                </c:ext>
              </c:extLst>
              <c:f>(JAN!$N$3,JAN!$N$5)</c:f>
              <c:numCache>
                <c:formatCode>General</c:formatCode>
                <c:ptCount val="2"/>
                <c:pt idx="0">
                  <c:v>13</c:v>
                </c:pt>
                <c:pt idx="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2783-4689-9ABE-8D9991550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Results: Win / Breakeven /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Trade Results</c:v>
          </c:tx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00-42B7-8B71-BF20F4A21D7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00-42B7-8B71-BF20F4A21D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JAN!$M$3:$M$5</c15:sqref>
                  </c15:fullRef>
                </c:ext>
              </c:extLst>
              <c:f>(JAN!$M$3,JAN!$M$5)</c:f>
              <c:strCache>
                <c:ptCount val="2"/>
                <c:pt idx="0">
                  <c:v>Win</c:v>
                </c:pt>
                <c:pt idx="1">
                  <c:v>Loss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JAN!$N$3:$N$5</c15:sqref>
                  </c15:fullRef>
                </c:ext>
              </c:extLst>
              <c:f>(JAN!$N$3,JAN!$N$5)</c:f>
              <c:numCache>
                <c:formatCode>General</c:formatCode>
                <c:ptCount val="2"/>
                <c:pt idx="0">
                  <c:v>13</c:v>
                </c:pt>
                <c:pt idx="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3A00-42B7-8B71-BF20F4A21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Results: Win / Breakeven /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Trade Results</c:v>
          </c:tx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FE-4B06-ADF0-BC21FF394578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FE-4B06-ADF0-BC21FF3945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JAN!$M$3:$M$5</c15:sqref>
                  </c15:fullRef>
                </c:ext>
              </c:extLst>
              <c:f>(JAN!$M$3,JAN!$M$5)</c:f>
              <c:strCache>
                <c:ptCount val="2"/>
                <c:pt idx="0">
                  <c:v>Win</c:v>
                </c:pt>
                <c:pt idx="1">
                  <c:v>Loss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JAN!$N$3:$N$5</c15:sqref>
                  </c15:fullRef>
                </c:ext>
              </c:extLst>
              <c:f>(JAN!$N$3,JAN!$N$5)</c:f>
              <c:numCache>
                <c:formatCode>General</c:formatCode>
                <c:ptCount val="2"/>
                <c:pt idx="0">
                  <c:v>13</c:v>
                </c:pt>
                <c:pt idx="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F3FE-4B06-ADF0-BC21FF394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Results: Win / Breakeven /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Trade Results</c:v>
          </c:tx>
          <c:dPt>
            <c:idx val="0"/>
            <c:bubble3D val="0"/>
            <c:spPr>
              <a:solidFill>
                <a:schemeClr val="accent3">
                  <a:shade val="76000"/>
                </a:schemeClr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A4-44C8-9B2A-B0C0694031A2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A4-44C8-9B2A-B0C0694031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JAN!$M$3:$M$5</c15:sqref>
                  </c15:fullRef>
                </c:ext>
              </c:extLst>
              <c:f>(JAN!$M$3,JAN!$M$5)</c:f>
              <c:strCache>
                <c:ptCount val="2"/>
                <c:pt idx="0">
                  <c:v>Win</c:v>
                </c:pt>
                <c:pt idx="1">
                  <c:v>Loss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JAN!$N$3:$N$5</c15:sqref>
                  </c15:fullRef>
                </c:ext>
              </c:extLst>
              <c:f>(JAN!$N$3,JAN!$N$5)</c:f>
              <c:numCache>
                <c:formatCode>General</c:formatCode>
                <c:ptCount val="2"/>
                <c:pt idx="0">
                  <c:v>13</c:v>
                </c:pt>
                <c:pt idx="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B4A4-44C8-9B2A-B0C069403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16</xdr:col>
      <xdr:colOff>209550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16</xdr:col>
      <xdr:colOff>209550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03BD45-E30E-47A3-8569-1CC5CD667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16</xdr:col>
      <xdr:colOff>209550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658A9F-51C3-47DB-82B1-77116CDF4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16</xdr:col>
      <xdr:colOff>209550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C17FB-4FFF-4ED7-9606-3FF716E30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zoomScale="80" zoomScaleNormal="80" workbookViewId="0">
      <pane ySplit="5" topLeftCell="A6" activePane="bottomLeft" state="frozen"/>
      <selection pane="bottomLeft" activeCell="H38" sqref="H38"/>
    </sheetView>
  </sheetViews>
  <sheetFormatPr defaultRowHeight="14.5" x14ac:dyDescent="0.35"/>
  <cols>
    <col min="1" max="1" width="22.7265625" style="7" customWidth="1"/>
    <col min="2" max="2" width="16" customWidth="1"/>
    <col min="3" max="6" width="14.7265625" customWidth="1"/>
    <col min="7" max="7" width="12.7265625" customWidth="1"/>
    <col min="8" max="8" width="30.7265625" customWidth="1"/>
    <col min="10" max="10" width="18.7265625" customWidth="1"/>
    <col min="11" max="11" width="14.7265625" customWidth="1"/>
  </cols>
  <sheetData>
    <row r="1" spans="1:14" ht="21" x14ac:dyDescent="0.5">
      <c r="A1" s="9" t="s">
        <v>9</v>
      </c>
      <c r="B1" s="9"/>
      <c r="C1" s="9"/>
      <c r="D1" s="9"/>
      <c r="E1" s="9"/>
      <c r="F1" s="9"/>
      <c r="G1" s="9"/>
      <c r="H1" s="9"/>
      <c r="J1" s="1" t="s">
        <v>11</v>
      </c>
    </row>
    <row r="2" spans="1:14" x14ac:dyDescent="0.35">
      <c r="A2" s="5" t="s">
        <v>10</v>
      </c>
      <c r="J2" s="2" t="s">
        <v>12</v>
      </c>
      <c r="K2">
        <f>COUNTA(A6:A1005)</f>
        <v>13</v>
      </c>
      <c r="M2" t="s">
        <v>5</v>
      </c>
      <c r="N2" t="s">
        <v>17</v>
      </c>
    </row>
    <row r="3" spans="1:14" x14ac:dyDescent="0.35">
      <c r="A3" s="6" t="s">
        <v>18</v>
      </c>
      <c r="J3" s="2" t="s">
        <v>13</v>
      </c>
      <c r="K3">
        <f>COUNTIF(F6:F1005,"Win")</f>
        <v>13</v>
      </c>
      <c r="M3" t="s">
        <v>7</v>
      </c>
      <c r="N3">
        <f>COUNTIF(F6:F1005,"Win")</f>
        <v>13</v>
      </c>
    </row>
    <row r="4" spans="1:14" x14ac:dyDescent="0.35">
      <c r="J4" s="2" t="s">
        <v>14</v>
      </c>
      <c r="K4">
        <f>COUNTIF(F6:F1005,"Loss")</f>
        <v>0</v>
      </c>
    </row>
    <row r="5" spans="1:14" x14ac:dyDescent="0.3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8"/>
      <c r="J5" s="2" t="s">
        <v>15</v>
      </c>
      <c r="K5">
        <f>IF(K2=0,0,K3/K2)</f>
        <v>1</v>
      </c>
      <c r="M5" t="s">
        <v>8</v>
      </c>
      <c r="N5">
        <f>COUNTIF(F6:F1005,"Loss")</f>
        <v>0</v>
      </c>
    </row>
    <row r="6" spans="1:14" x14ac:dyDescent="0.35">
      <c r="A6" s="4"/>
      <c r="J6" s="2" t="s">
        <v>16</v>
      </c>
      <c r="K6">
        <f>SUM(G6:G1005)</f>
        <v>1555</v>
      </c>
    </row>
    <row r="7" spans="1:14" x14ac:dyDescent="0.35">
      <c r="A7" s="4">
        <v>46027</v>
      </c>
      <c r="B7" t="s">
        <v>19</v>
      </c>
      <c r="C7" t="s">
        <v>20</v>
      </c>
      <c r="D7" t="s">
        <v>21</v>
      </c>
      <c r="E7" t="s">
        <v>22</v>
      </c>
      <c r="F7" t="s">
        <v>7</v>
      </c>
      <c r="G7">
        <v>220</v>
      </c>
      <c r="J7" s="2"/>
    </row>
    <row r="8" spans="1:14" x14ac:dyDescent="0.35">
      <c r="A8" s="4">
        <v>46028</v>
      </c>
      <c r="B8" t="s">
        <v>23</v>
      </c>
      <c r="C8" t="s">
        <v>24</v>
      </c>
      <c r="D8" t="s">
        <v>25</v>
      </c>
      <c r="E8" t="s">
        <v>22</v>
      </c>
      <c r="F8" t="s">
        <v>7</v>
      </c>
      <c r="G8">
        <v>100</v>
      </c>
    </row>
    <row r="9" spans="1:14" x14ac:dyDescent="0.35">
      <c r="A9" s="4">
        <v>46028</v>
      </c>
      <c r="B9" t="s">
        <v>23</v>
      </c>
      <c r="C9" t="s">
        <v>20</v>
      </c>
      <c r="D9" t="s">
        <v>21</v>
      </c>
      <c r="E9" t="s">
        <v>26</v>
      </c>
      <c r="F9" t="s">
        <v>7</v>
      </c>
      <c r="G9">
        <v>120</v>
      </c>
    </row>
    <row r="10" spans="1:14" x14ac:dyDescent="0.35">
      <c r="A10" s="4">
        <v>46029</v>
      </c>
      <c r="B10" t="s">
        <v>27</v>
      </c>
      <c r="C10" t="s">
        <v>20</v>
      </c>
      <c r="D10" t="s">
        <v>21</v>
      </c>
      <c r="E10" t="s">
        <v>22</v>
      </c>
      <c r="F10" t="s">
        <v>7</v>
      </c>
      <c r="G10">
        <v>70</v>
      </c>
    </row>
    <row r="11" spans="1:14" x14ac:dyDescent="0.35">
      <c r="A11" s="4">
        <v>46029</v>
      </c>
      <c r="B11" t="s">
        <v>27</v>
      </c>
      <c r="C11" t="s">
        <v>24</v>
      </c>
      <c r="D11" t="s">
        <v>21</v>
      </c>
      <c r="E11" t="s">
        <v>22</v>
      </c>
      <c r="F11" t="s">
        <v>7</v>
      </c>
      <c r="G11">
        <v>65</v>
      </c>
    </row>
    <row r="12" spans="1:14" x14ac:dyDescent="0.35">
      <c r="A12" s="4"/>
    </row>
    <row r="13" spans="1:14" x14ac:dyDescent="0.35">
      <c r="A13" s="4">
        <v>46035</v>
      </c>
      <c r="B13" t="s">
        <v>23</v>
      </c>
      <c r="C13" t="s">
        <v>20</v>
      </c>
      <c r="D13" t="s">
        <v>21</v>
      </c>
      <c r="E13" t="s">
        <v>26</v>
      </c>
      <c r="F13" t="s">
        <v>7</v>
      </c>
      <c r="G13">
        <v>100</v>
      </c>
    </row>
    <row r="14" spans="1:14" x14ac:dyDescent="0.35">
      <c r="A14" s="4">
        <v>46036</v>
      </c>
      <c r="B14" t="s">
        <v>27</v>
      </c>
      <c r="C14" t="s">
        <v>20</v>
      </c>
      <c r="D14" t="s">
        <v>25</v>
      </c>
      <c r="E14" t="s">
        <v>22</v>
      </c>
      <c r="F14" t="s">
        <v>7</v>
      </c>
      <c r="G14">
        <v>100</v>
      </c>
    </row>
    <row r="15" spans="1:14" x14ac:dyDescent="0.35">
      <c r="A15" s="4"/>
    </row>
    <row r="16" spans="1:14" x14ac:dyDescent="0.35">
      <c r="A16" s="4">
        <v>46042</v>
      </c>
      <c r="B16" t="s">
        <v>23</v>
      </c>
      <c r="C16" t="s">
        <v>20</v>
      </c>
      <c r="D16" t="s">
        <v>25</v>
      </c>
      <c r="E16" t="s">
        <v>26</v>
      </c>
      <c r="F16" t="s">
        <v>7</v>
      </c>
      <c r="G16">
        <v>130</v>
      </c>
    </row>
    <row r="17" spans="1:7" x14ac:dyDescent="0.35">
      <c r="A17" s="4">
        <v>46043</v>
      </c>
      <c r="B17" t="s">
        <v>27</v>
      </c>
      <c r="C17" t="s">
        <v>20</v>
      </c>
      <c r="D17" t="s">
        <v>25</v>
      </c>
      <c r="E17" t="s">
        <v>26</v>
      </c>
      <c r="F17" t="s">
        <v>7</v>
      </c>
      <c r="G17">
        <v>150</v>
      </c>
    </row>
    <row r="18" spans="1:7" x14ac:dyDescent="0.35">
      <c r="A18" s="4">
        <v>46043</v>
      </c>
      <c r="B18" t="s">
        <v>27</v>
      </c>
      <c r="C18" t="s">
        <v>24</v>
      </c>
      <c r="D18" t="s">
        <v>25</v>
      </c>
      <c r="E18" t="s">
        <v>26</v>
      </c>
      <c r="F18" t="s">
        <v>7</v>
      </c>
      <c r="G18">
        <v>150</v>
      </c>
    </row>
    <row r="19" spans="1:7" x14ac:dyDescent="0.35">
      <c r="A19" s="4"/>
    </row>
    <row r="20" spans="1:7" x14ac:dyDescent="0.35">
      <c r="A20" s="4">
        <v>46048</v>
      </c>
      <c r="B20" t="s">
        <v>28</v>
      </c>
      <c r="C20" t="s">
        <v>20</v>
      </c>
      <c r="D20" t="s">
        <v>21</v>
      </c>
      <c r="E20" t="s">
        <v>22</v>
      </c>
      <c r="F20" t="s">
        <v>7</v>
      </c>
      <c r="G20">
        <v>120</v>
      </c>
    </row>
    <row r="21" spans="1:7" x14ac:dyDescent="0.35">
      <c r="A21" s="4">
        <v>46049</v>
      </c>
      <c r="B21" t="s">
        <v>23</v>
      </c>
      <c r="C21" t="s">
        <v>20</v>
      </c>
      <c r="D21" t="s">
        <v>21</v>
      </c>
      <c r="E21" t="s">
        <v>22</v>
      </c>
      <c r="F21" t="s">
        <v>7</v>
      </c>
      <c r="G21">
        <v>80</v>
      </c>
    </row>
    <row r="22" spans="1:7" x14ac:dyDescent="0.35">
      <c r="A22" s="4">
        <v>46052</v>
      </c>
      <c r="B22" t="s">
        <v>29</v>
      </c>
      <c r="C22" t="s">
        <v>24</v>
      </c>
      <c r="D22" t="s">
        <v>21</v>
      </c>
      <c r="E22" t="s">
        <v>26</v>
      </c>
      <c r="F22" t="s">
        <v>7</v>
      </c>
      <c r="G22">
        <v>150</v>
      </c>
    </row>
    <row r="23" spans="1:7" x14ac:dyDescent="0.35">
      <c r="A23" s="4"/>
    </row>
  </sheetData>
  <mergeCells count="1">
    <mergeCell ref="A1:H1"/>
  </mergeCells>
  <conditionalFormatting sqref="F6:F1001">
    <cfRule type="cellIs" dxfId="11" priority="1" operator="equal">
      <formula>"Win"</formula>
    </cfRule>
    <cfRule type="cellIs" dxfId="10" priority="2" operator="equal">
      <formula>"Loss"</formula>
    </cfRule>
    <cfRule type="cellIs" dxfId="9" priority="3" operator="equal">
      <formula>"Breakeven"</formula>
    </cfRule>
  </conditionalFormatting>
  <dataValidations count="3">
    <dataValidation type="list" allowBlank="1" showInputMessage="1" showErrorMessage="1" sqref="D6:D1001" xr:uid="{00000000-0002-0000-0000-000000000000}">
      <formula1>"Asia,London,NYC,Other"</formula1>
    </dataValidation>
    <dataValidation type="list" allowBlank="1" showInputMessage="1" showErrorMessage="1" sqref="E6:E1001" xr:uid="{00000000-0002-0000-0000-000001000000}">
      <formula1>"Buy,Sell"</formula1>
    </dataValidation>
    <dataValidation type="list" allowBlank="1" showInputMessage="1" showErrorMessage="1" sqref="F6:F1001" xr:uid="{00000000-0002-0000-0000-000002000000}">
      <formula1>"Win,Breakeven,Loss"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5921-1021-44C9-9C0C-84F68B0DC51B}">
  <dimension ref="A1:N27"/>
  <sheetViews>
    <sheetView workbookViewId="0">
      <selection activeCell="E36" sqref="E36"/>
    </sheetView>
  </sheetViews>
  <sheetFormatPr defaultRowHeight="14.5" x14ac:dyDescent="0.35"/>
  <cols>
    <col min="1" max="1" width="14.90625" customWidth="1"/>
    <col min="2" max="2" width="13.90625" customWidth="1"/>
    <col min="3" max="3" width="14.7265625" customWidth="1"/>
    <col min="4" max="4" width="12.453125" customWidth="1"/>
    <col min="6" max="6" width="12.54296875" customWidth="1"/>
  </cols>
  <sheetData>
    <row r="1" spans="1:14" ht="21" x14ac:dyDescent="0.5">
      <c r="A1" s="9" t="s">
        <v>9</v>
      </c>
      <c r="B1" s="9"/>
      <c r="C1" s="9"/>
      <c r="D1" s="9"/>
      <c r="E1" s="9"/>
      <c r="F1" s="9"/>
      <c r="G1" s="9"/>
      <c r="H1" s="9"/>
      <c r="J1" s="1" t="s">
        <v>11</v>
      </c>
    </row>
    <row r="2" spans="1:14" x14ac:dyDescent="0.35">
      <c r="A2" s="5" t="s">
        <v>10</v>
      </c>
      <c r="J2" s="2" t="s">
        <v>12</v>
      </c>
      <c r="K2">
        <f>COUNTA(A6:A1005)</f>
        <v>7</v>
      </c>
      <c r="M2" t="s">
        <v>5</v>
      </c>
      <c r="N2" t="s">
        <v>17</v>
      </c>
    </row>
    <row r="3" spans="1:14" x14ac:dyDescent="0.35">
      <c r="A3" s="6" t="s">
        <v>18</v>
      </c>
      <c r="J3" s="2" t="s">
        <v>13</v>
      </c>
      <c r="K3">
        <f>COUNTIF(F6:F1005,"Win")</f>
        <v>6</v>
      </c>
      <c r="M3" t="s">
        <v>7</v>
      </c>
      <c r="N3">
        <f>COUNTIF(F6:F1005,"Win")</f>
        <v>6</v>
      </c>
    </row>
    <row r="4" spans="1:14" x14ac:dyDescent="0.35">
      <c r="A4" s="7"/>
      <c r="J4" s="2" t="s">
        <v>14</v>
      </c>
      <c r="K4">
        <f>COUNTIF(F6:F1005,"Loss")</f>
        <v>1</v>
      </c>
    </row>
    <row r="5" spans="1:14" x14ac:dyDescent="0.3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8"/>
      <c r="J5" s="2" t="s">
        <v>15</v>
      </c>
      <c r="K5">
        <f>IF(K2=0,0,K3/K2)</f>
        <v>0.8571428571428571</v>
      </c>
      <c r="M5" t="s">
        <v>8</v>
      </c>
      <c r="N5">
        <f>COUNTIF(F6:F1005,"Loss")</f>
        <v>1</v>
      </c>
    </row>
    <row r="6" spans="1:14" x14ac:dyDescent="0.35">
      <c r="A6" s="4">
        <v>46057</v>
      </c>
      <c r="B6" s="7" t="s">
        <v>23</v>
      </c>
      <c r="C6" s="7" t="s">
        <v>20</v>
      </c>
      <c r="D6" s="7" t="s">
        <v>25</v>
      </c>
      <c r="E6" s="7" t="s">
        <v>26</v>
      </c>
      <c r="F6" s="7" t="s">
        <v>7</v>
      </c>
      <c r="G6" s="7">
        <v>200</v>
      </c>
      <c r="J6" s="2" t="s">
        <v>16</v>
      </c>
      <c r="K6">
        <f>SUM(G6:G1005)</f>
        <v>965</v>
      </c>
    </row>
    <row r="7" spans="1:14" x14ac:dyDescent="0.35">
      <c r="A7" s="4">
        <v>46059</v>
      </c>
      <c r="B7" s="7" t="s">
        <v>29</v>
      </c>
      <c r="C7" s="7" t="s">
        <v>20</v>
      </c>
      <c r="D7" s="7" t="s">
        <v>25</v>
      </c>
      <c r="E7" s="7" t="s">
        <v>22</v>
      </c>
      <c r="F7" s="7" t="s">
        <v>7</v>
      </c>
      <c r="G7" s="7">
        <v>220</v>
      </c>
      <c r="J7" s="2"/>
    </row>
    <row r="8" spans="1:14" x14ac:dyDescent="0.35">
      <c r="A8" s="4"/>
      <c r="B8" s="7"/>
      <c r="C8" s="7"/>
      <c r="D8" s="7"/>
      <c r="E8" s="7"/>
      <c r="F8" s="7"/>
      <c r="G8" s="7"/>
    </row>
    <row r="9" spans="1:14" x14ac:dyDescent="0.35">
      <c r="A9" s="4">
        <v>46064</v>
      </c>
      <c r="B9" s="7" t="s">
        <v>27</v>
      </c>
      <c r="C9" s="7" t="s">
        <v>24</v>
      </c>
      <c r="D9" s="7" t="s">
        <v>21</v>
      </c>
      <c r="E9" s="7" t="s">
        <v>26</v>
      </c>
      <c r="F9" s="7" t="s">
        <v>7</v>
      </c>
      <c r="G9" s="7">
        <v>100</v>
      </c>
    </row>
    <row r="10" spans="1:14" x14ac:dyDescent="0.35">
      <c r="A10" s="4"/>
      <c r="B10" s="7"/>
      <c r="C10" s="7"/>
      <c r="D10" s="7"/>
      <c r="E10" s="7"/>
      <c r="F10" s="7"/>
      <c r="G10" s="7"/>
    </row>
    <row r="11" spans="1:14" x14ac:dyDescent="0.35">
      <c r="A11" s="4">
        <v>46072</v>
      </c>
      <c r="B11" s="7" t="s">
        <v>30</v>
      </c>
      <c r="C11" s="7" t="s">
        <v>20</v>
      </c>
      <c r="D11" s="7" t="s">
        <v>25</v>
      </c>
      <c r="E11" s="7" t="s">
        <v>22</v>
      </c>
      <c r="F11" s="7" t="s">
        <v>7</v>
      </c>
      <c r="G11" s="7">
        <v>120</v>
      </c>
    </row>
    <row r="12" spans="1:14" x14ac:dyDescent="0.35">
      <c r="A12" s="4"/>
      <c r="B12" s="7"/>
      <c r="C12" s="7"/>
      <c r="D12" s="7"/>
      <c r="E12" s="7"/>
      <c r="F12" s="7"/>
      <c r="G12" s="7"/>
    </row>
    <row r="13" spans="1:14" x14ac:dyDescent="0.35">
      <c r="A13" s="4">
        <v>46077</v>
      </c>
      <c r="B13" s="7" t="s">
        <v>23</v>
      </c>
      <c r="C13" s="7" t="s">
        <v>24</v>
      </c>
      <c r="D13" s="7" t="s">
        <v>21</v>
      </c>
      <c r="E13" s="7" t="s">
        <v>22</v>
      </c>
      <c r="F13" s="7" t="s">
        <v>8</v>
      </c>
      <c r="G13" s="7">
        <v>35</v>
      </c>
    </row>
    <row r="14" spans="1:14" x14ac:dyDescent="0.35">
      <c r="A14" s="4">
        <v>46079</v>
      </c>
      <c r="B14" s="7" t="s">
        <v>30</v>
      </c>
      <c r="C14" s="7" t="s">
        <v>20</v>
      </c>
      <c r="D14" s="7" t="s">
        <v>25</v>
      </c>
      <c r="E14" s="7" t="s">
        <v>22</v>
      </c>
      <c r="F14" s="7" t="s">
        <v>7</v>
      </c>
      <c r="G14" s="7">
        <v>140</v>
      </c>
    </row>
    <row r="15" spans="1:14" x14ac:dyDescent="0.35">
      <c r="A15" s="4">
        <v>46079</v>
      </c>
      <c r="B15" s="7" t="s">
        <v>30</v>
      </c>
      <c r="C15" s="7" t="s">
        <v>24</v>
      </c>
      <c r="D15" s="7" t="s">
        <v>21</v>
      </c>
      <c r="E15" s="7" t="s">
        <v>22</v>
      </c>
      <c r="F15" s="7" t="s">
        <v>7</v>
      </c>
      <c r="G15" s="7">
        <v>150</v>
      </c>
    </row>
    <row r="16" spans="1:14" x14ac:dyDescent="0.35">
      <c r="A16" s="4"/>
      <c r="B16" s="7"/>
      <c r="C16" s="7"/>
      <c r="D16" s="7"/>
      <c r="E16" s="7"/>
      <c r="F16" s="7"/>
      <c r="G16" s="7"/>
    </row>
    <row r="17" spans="1:7" x14ac:dyDescent="0.35">
      <c r="A17" s="4"/>
      <c r="B17" s="7"/>
      <c r="C17" s="7"/>
      <c r="D17" s="7"/>
      <c r="E17" s="7"/>
      <c r="F17" s="7"/>
      <c r="G17" s="7"/>
    </row>
    <row r="18" spans="1:7" x14ac:dyDescent="0.35">
      <c r="A18" s="4"/>
      <c r="B18" s="7"/>
      <c r="C18" s="7"/>
      <c r="D18" s="7"/>
      <c r="E18" s="7"/>
      <c r="F18" s="7"/>
      <c r="G18" s="7"/>
    </row>
    <row r="19" spans="1:7" x14ac:dyDescent="0.35">
      <c r="A19" s="4"/>
      <c r="B19" s="7"/>
      <c r="C19" s="7"/>
      <c r="D19" s="7"/>
      <c r="E19" s="7"/>
      <c r="F19" s="7"/>
      <c r="G19" s="7"/>
    </row>
    <row r="20" spans="1:7" x14ac:dyDescent="0.35">
      <c r="A20" s="4"/>
      <c r="B20" s="7"/>
      <c r="C20" s="7"/>
      <c r="D20" s="7"/>
      <c r="E20" s="7"/>
      <c r="F20" s="7"/>
      <c r="G20" s="7"/>
    </row>
    <row r="21" spans="1:7" x14ac:dyDescent="0.35">
      <c r="A21" s="4"/>
      <c r="B21" s="7"/>
      <c r="C21" s="7"/>
      <c r="D21" s="7"/>
      <c r="E21" s="7"/>
      <c r="F21" s="7"/>
      <c r="G21" s="7"/>
    </row>
    <row r="22" spans="1:7" x14ac:dyDescent="0.35">
      <c r="A22" s="4"/>
      <c r="B22" s="7"/>
      <c r="C22" s="7"/>
      <c r="D22" s="7"/>
      <c r="E22" s="7"/>
      <c r="F22" s="7"/>
      <c r="G22" s="7"/>
    </row>
    <row r="23" spans="1:7" x14ac:dyDescent="0.35">
      <c r="A23" s="4"/>
    </row>
    <row r="24" spans="1:7" x14ac:dyDescent="0.35">
      <c r="A24" s="7"/>
    </row>
    <row r="25" spans="1:7" x14ac:dyDescent="0.35">
      <c r="A25" s="7"/>
    </row>
    <row r="26" spans="1:7" x14ac:dyDescent="0.35">
      <c r="A26" s="7"/>
    </row>
    <row r="27" spans="1:7" x14ac:dyDescent="0.35">
      <c r="A27" s="7"/>
    </row>
  </sheetData>
  <mergeCells count="1">
    <mergeCell ref="A1:H1"/>
  </mergeCells>
  <conditionalFormatting sqref="F6:F27">
    <cfRule type="cellIs" dxfId="8" priority="1" operator="equal">
      <formula>"Win"</formula>
    </cfRule>
    <cfRule type="cellIs" dxfId="7" priority="2" operator="equal">
      <formula>"Loss"</formula>
    </cfRule>
    <cfRule type="cellIs" dxfId="6" priority="3" operator="equal">
      <formula>"Breakeven"</formula>
    </cfRule>
  </conditionalFormatting>
  <dataValidations count="3">
    <dataValidation type="list" allowBlank="1" showInputMessage="1" showErrorMessage="1" sqref="F6:F27" xr:uid="{B50475D9-1343-46FE-AFC5-CEC37164E7FA}">
      <formula1>"Win,Breakeven,Loss"</formula1>
    </dataValidation>
    <dataValidation type="list" allowBlank="1" showInputMessage="1" showErrorMessage="1" sqref="E6:E27" xr:uid="{B66CEAB0-DE5F-49D2-A91F-8EDBF0C476D3}">
      <formula1>"Buy,Sell"</formula1>
    </dataValidation>
    <dataValidation type="list" allowBlank="1" showInputMessage="1" showErrorMessage="1" sqref="D6:D27" xr:uid="{11ABC746-A9E7-4866-AE71-16C5682E8155}">
      <formula1>"Asia,London,NYC,Other"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A2D5-7419-4D56-B41B-100FFF4E4465}">
  <dimension ref="A1:N27"/>
  <sheetViews>
    <sheetView zoomScale="80" zoomScaleNormal="80" workbookViewId="0">
      <selection sqref="A1:Q29"/>
    </sheetView>
  </sheetViews>
  <sheetFormatPr defaultRowHeight="14.5" x14ac:dyDescent="0.35"/>
  <cols>
    <col min="1" max="1" width="13.36328125" customWidth="1"/>
    <col min="2" max="2" width="12.1796875" customWidth="1"/>
    <col min="3" max="3" width="10.81640625" customWidth="1"/>
    <col min="4" max="4" width="11.08984375" customWidth="1"/>
    <col min="5" max="5" width="9.7265625" customWidth="1"/>
  </cols>
  <sheetData>
    <row r="1" spans="1:14" ht="21" x14ac:dyDescent="0.5">
      <c r="A1" s="9" t="s">
        <v>9</v>
      </c>
      <c r="B1" s="9"/>
      <c r="C1" s="9"/>
      <c r="D1" s="9"/>
      <c r="E1" s="9"/>
      <c r="F1" s="9"/>
      <c r="G1" s="9"/>
      <c r="H1" s="9"/>
      <c r="J1" s="1" t="s">
        <v>11</v>
      </c>
    </row>
    <row r="2" spans="1:14" x14ac:dyDescent="0.35">
      <c r="A2" s="5" t="s">
        <v>10</v>
      </c>
      <c r="J2" s="2" t="s">
        <v>12</v>
      </c>
      <c r="K2">
        <f>COUNTA(A6:A1005)</f>
        <v>11</v>
      </c>
      <c r="M2" t="s">
        <v>5</v>
      </c>
      <c r="N2" t="s">
        <v>17</v>
      </c>
    </row>
    <row r="3" spans="1:14" x14ac:dyDescent="0.35">
      <c r="A3" s="6" t="s">
        <v>18</v>
      </c>
      <c r="J3" s="2" t="s">
        <v>13</v>
      </c>
      <c r="K3">
        <f>COUNTIF(F6:F1005,"Win")</f>
        <v>10</v>
      </c>
      <c r="M3" t="s">
        <v>7</v>
      </c>
      <c r="N3">
        <f>COUNTIF(F6:F1005,"Win")</f>
        <v>10</v>
      </c>
    </row>
    <row r="4" spans="1:14" x14ac:dyDescent="0.35">
      <c r="A4" s="7"/>
      <c r="J4" s="2" t="s">
        <v>14</v>
      </c>
      <c r="K4">
        <f>COUNTIF(F6:F1005,"Loss")</f>
        <v>1</v>
      </c>
    </row>
    <row r="5" spans="1:14" x14ac:dyDescent="0.3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8"/>
      <c r="J5" s="2" t="s">
        <v>15</v>
      </c>
      <c r="K5">
        <f>IF(K2=0,0,K3/K2)</f>
        <v>0.90909090909090906</v>
      </c>
      <c r="M5" t="s">
        <v>8</v>
      </c>
      <c r="N5">
        <f>COUNTIF(F6:F1005,"Loss")</f>
        <v>1</v>
      </c>
    </row>
    <row r="6" spans="1:14" x14ac:dyDescent="0.35">
      <c r="A6" s="4">
        <v>46084</v>
      </c>
      <c r="B6" s="7" t="s">
        <v>23</v>
      </c>
      <c r="C6" s="7" t="s">
        <v>20</v>
      </c>
      <c r="D6" s="7" t="s">
        <v>25</v>
      </c>
      <c r="E6" s="7" t="s">
        <v>22</v>
      </c>
      <c r="F6" s="7" t="s">
        <v>7</v>
      </c>
      <c r="G6" s="7">
        <v>130</v>
      </c>
      <c r="J6" s="2" t="s">
        <v>16</v>
      </c>
      <c r="K6">
        <f>SUM(G6:G1005)</f>
        <v>1640</v>
      </c>
    </row>
    <row r="7" spans="1:14" x14ac:dyDescent="0.35">
      <c r="A7" s="4">
        <v>46086</v>
      </c>
      <c r="B7" s="7" t="s">
        <v>30</v>
      </c>
      <c r="C7" s="7" t="s">
        <v>24</v>
      </c>
      <c r="D7" s="7" t="s">
        <v>25</v>
      </c>
      <c r="E7" s="7" t="s">
        <v>22</v>
      </c>
      <c r="F7" s="7" t="s">
        <v>7</v>
      </c>
      <c r="G7" s="7">
        <v>150</v>
      </c>
      <c r="J7" s="2"/>
    </row>
    <row r="8" spans="1:14" x14ac:dyDescent="0.35">
      <c r="A8" s="4"/>
      <c r="B8" s="7"/>
      <c r="C8" s="7"/>
      <c r="D8" s="7"/>
      <c r="E8" s="7"/>
      <c r="F8" s="7"/>
      <c r="G8" s="7"/>
    </row>
    <row r="9" spans="1:14" x14ac:dyDescent="0.35">
      <c r="A9" s="4">
        <v>46091</v>
      </c>
      <c r="B9" s="7" t="s">
        <v>23</v>
      </c>
      <c r="C9" s="7" t="s">
        <v>24</v>
      </c>
      <c r="D9" s="7" t="s">
        <v>21</v>
      </c>
      <c r="E9" s="7" t="s">
        <v>26</v>
      </c>
      <c r="F9" s="7" t="s">
        <v>7</v>
      </c>
      <c r="G9" s="7">
        <v>100</v>
      </c>
    </row>
    <row r="10" spans="1:14" x14ac:dyDescent="0.35">
      <c r="A10" s="4">
        <v>46093</v>
      </c>
      <c r="B10" s="7" t="s">
        <v>31</v>
      </c>
      <c r="C10" s="7" t="s">
        <v>24</v>
      </c>
      <c r="D10" s="7" t="s">
        <v>25</v>
      </c>
      <c r="E10" s="7" t="s">
        <v>22</v>
      </c>
      <c r="F10" s="7" t="s">
        <v>7</v>
      </c>
      <c r="G10" s="7">
        <v>120</v>
      </c>
    </row>
    <row r="11" spans="1:14" x14ac:dyDescent="0.35">
      <c r="A11" s="4">
        <v>46094</v>
      </c>
      <c r="B11" s="7" t="s">
        <v>29</v>
      </c>
      <c r="C11" s="7" t="s">
        <v>20</v>
      </c>
      <c r="D11" s="7" t="s">
        <v>21</v>
      </c>
      <c r="E11" s="7" t="s">
        <v>26</v>
      </c>
      <c r="F11" s="7" t="s">
        <v>7</v>
      </c>
      <c r="G11" s="7">
        <v>150</v>
      </c>
    </row>
    <row r="12" spans="1:14" x14ac:dyDescent="0.35">
      <c r="A12" s="4"/>
      <c r="B12" s="7"/>
      <c r="C12" s="7"/>
      <c r="D12" s="7"/>
      <c r="E12" s="7"/>
      <c r="F12" s="7"/>
      <c r="G12" s="7"/>
    </row>
    <row r="13" spans="1:14" x14ac:dyDescent="0.35">
      <c r="A13" s="4">
        <v>46104</v>
      </c>
      <c r="B13" s="7" t="s">
        <v>28</v>
      </c>
      <c r="C13" s="7" t="s">
        <v>20</v>
      </c>
      <c r="D13" s="7" t="s">
        <v>25</v>
      </c>
      <c r="E13" s="7" t="s">
        <v>26</v>
      </c>
      <c r="F13" s="7" t="s">
        <v>7</v>
      </c>
      <c r="G13" s="7">
        <v>300</v>
      </c>
    </row>
    <row r="14" spans="1:14" x14ac:dyDescent="0.35">
      <c r="A14" s="4">
        <v>46105</v>
      </c>
      <c r="B14" s="7" t="s">
        <v>23</v>
      </c>
      <c r="C14" s="7" t="s">
        <v>20</v>
      </c>
      <c r="D14" s="7" t="s">
        <v>21</v>
      </c>
      <c r="E14" s="7" t="s">
        <v>26</v>
      </c>
      <c r="F14" s="7" t="s">
        <v>7</v>
      </c>
      <c r="G14" s="7">
        <v>200</v>
      </c>
    </row>
    <row r="15" spans="1:14" x14ac:dyDescent="0.35">
      <c r="A15" s="4">
        <v>46106</v>
      </c>
      <c r="B15" s="7" t="s">
        <v>27</v>
      </c>
      <c r="C15" s="7" t="s">
        <v>24</v>
      </c>
      <c r="D15" s="7" t="s">
        <v>25</v>
      </c>
      <c r="E15" s="7" t="s">
        <v>26</v>
      </c>
      <c r="F15" s="7" t="s">
        <v>8</v>
      </c>
      <c r="G15" s="7">
        <v>40</v>
      </c>
    </row>
    <row r="16" spans="1:14" x14ac:dyDescent="0.35">
      <c r="A16" s="4">
        <v>46106</v>
      </c>
      <c r="B16" s="7" t="s">
        <v>27</v>
      </c>
      <c r="C16" s="7" t="s">
        <v>20</v>
      </c>
      <c r="D16" s="7" t="s">
        <v>25</v>
      </c>
      <c r="E16" s="7" t="s">
        <v>26</v>
      </c>
      <c r="F16" s="7" t="s">
        <v>7</v>
      </c>
      <c r="G16" s="7">
        <v>200</v>
      </c>
    </row>
    <row r="17" spans="1:7" x14ac:dyDescent="0.35">
      <c r="A17" s="4">
        <v>46109</v>
      </c>
      <c r="B17" s="7" t="s">
        <v>29</v>
      </c>
      <c r="C17" s="7" t="s">
        <v>24</v>
      </c>
      <c r="D17" s="7" t="s">
        <v>21</v>
      </c>
      <c r="E17" s="7" t="s">
        <v>22</v>
      </c>
      <c r="F17" s="7" t="s">
        <v>7</v>
      </c>
      <c r="G17" s="7">
        <v>100</v>
      </c>
    </row>
    <row r="18" spans="1:7" x14ac:dyDescent="0.35">
      <c r="A18" s="4">
        <v>46112</v>
      </c>
      <c r="B18" s="7" t="s">
        <v>23</v>
      </c>
      <c r="C18" s="7" t="s">
        <v>20</v>
      </c>
      <c r="D18" s="7" t="s">
        <v>25</v>
      </c>
      <c r="E18" s="7" t="s">
        <v>22</v>
      </c>
      <c r="F18" s="7" t="s">
        <v>7</v>
      </c>
      <c r="G18" s="7">
        <v>150</v>
      </c>
    </row>
    <row r="19" spans="1:7" x14ac:dyDescent="0.35">
      <c r="A19" s="4"/>
      <c r="B19" s="7"/>
      <c r="C19" s="7"/>
      <c r="D19" s="7"/>
      <c r="E19" s="7"/>
      <c r="F19" s="7"/>
      <c r="G19" s="7"/>
    </row>
    <row r="20" spans="1:7" x14ac:dyDescent="0.35">
      <c r="A20" s="4"/>
      <c r="B20" s="7"/>
      <c r="C20" s="7"/>
      <c r="D20" s="7"/>
      <c r="E20" s="7"/>
      <c r="F20" s="7"/>
      <c r="G20" s="7"/>
    </row>
    <row r="21" spans="1:7" x14ac:dyDescent="0.35">
      <c r="A21" s="4"/>
      <c r="B21" s="7"/>
      <c r="C21" s="7"/>
      <c r="D21" s="7"/>
      <c r="E21" s="7"/>
      <c r="F21" s="7"/>
      <c r="G21" s="7"/>
    </row>
    <row r="22" spans="1:7" x14ac:dyDescent="0.35">
      <c r="A22" s="4"/>
      <c r="B22" s="7"/>
      <c r="C22" s="7"/>
      <c r="D22" s="7"/>
      <c r="E22" s="7"/>
      <c r="F22" s="7"/>
      <c r="G22" s="7"/>
    </row>
    <row r="23" spans="1:7" x14ac:dyDescent="0.35">
      <c r="A23" s="4"/>
    </row>
    <row r="24" spans="1:7" x14ac:dyDescent="0.35">
      <c r="A24" s="7"/>
    </row>
    <row r="25" spans="1:7" x14ac:dyDescent="0.35">
      <c r="A25" s="7"/>
    </row>
    <row r="26" spans="1:7" x14ac:dyDescent="0.35">
      <c r="A26" s="7"/>
    </row>
    <row r="27" spans="1:7" x14ac:dyDescent="0.35">
      <c r="A27" s="7"/>
    </row>
  </sheetData>
  <mergeCells count="1">
    <mergeCell ref="A1:H1"/>
  </mergeCells>
  <conditionalFormatting sqref="F6:F27">
    <cfRule type="cellIs" dxfId="5" priority="1" operator="equal">
      <formula>"Win"</formula>
    </cfRule>
    <cfRule type="cellIs" dxfId="4" priority="2" operator="equal">
      <formula>"Loss"</formula>
    </cfRule>
    <cfRule type="cellIs" dxfId="3" priority="3" operator="equal">
      <formula>"Breakeven"</formula>
    </cfRule>
  </conditionalFormatting>
  <dataValidations count="3">
    <dataValidation type="list" allowBlank="1" showInputMessage="1" showErrorMessage="1" sqref="D6:D27" xr:uid="{675A261D-A989-487E-AA68-1A7850B5D887}">
      <formula1>"Asia,London,NYC,Other"</formula1>
    </dataValidation>
    <dataValidation type="list" allowBlank="1" showInputMessage="1" showErrorMessage="1" sqref="E6:E27" xr:uid="{06DCD4C2-1E68-483D-A982-FE1CA0D36249}">
      <formula1>"Buy,Sell"</formula1>
    </dataValidation>
    <dataValidation type="list" allowBlank="1" showInputMessage="1" showErrorMessage="1" sqref="F6:F27" xr:uid="{D646216F-9DCD-4CA5-B9D0-35E63DDB5959}">
      <formula1>"Win,Breakeven,Loss"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1EA3-BF9C-4535-9EED-544F154C1913}">
  <dimension ref="A1:N27"/>
  <sheetViews>
    <sheetView tabSelected="1" workbookViewId="0">
      <selection activeCell="H7" sqref="A6:H7"/>
    </sheetView>
  </sheetViews>
  <sheetFormatPr defaultRowHeight="14.5" x14ac:dyDescent="0.35"/>
  <cols>
    <col min="1" max="1" width="11.6328125" customWidth="1"/>
    <col min="2" max="2" width="13.81640625" customWidth="1"/>
  </cols>
  <sheetData>
    <row r="1" spans="1:14" ht="21" x14ac:dyDescent="0.5">
      <c r="A1" s="9" t="s">
        <v>9</v>
      </c>
      <c r="B1" s="9"/>
      <c r="C1" s="9"/>
      <c r="D1" s="9"/>
      <c r="E1" s="9"/>
      <c r="F1" s="9"/>
      <c r="G1" s="9"/>
      <c r="H1" s="9"/>
      <c r="J1" s="1" t="s">
        <v>11</v>
      </c>
    </row>
    <row r="2" spans="1:14" x14ac:dyDescent="0.35">
      <c r="A2" s="5" t="s">
        <v>10</v>
      </c>
      <c r="J2" s="2" t="s">
        <v>12</v>
      </c>
      <c r="K2">
        <f>COUNTA(A6:A1005)</f>
        <v>0</v>
      </c>
      <c r="M2" t="s">
        <v>5</v>
      </c>
      <c r="N2" t="s">
        <v>17</v>
      </c>
    </row>
    <row r="3" spans="1:14" x14ac:dyDescent="0.35">
      <c r="A3" s="6" t="s">
        <v>18</v>
      </c>
      <c r="J3" s="2" t="s">
        <v>13</v>
      </c>
      <c r="K3">
        <f>COUNTIF(F6:F1005,"Win")</f>
        <v>0</v>
      </c>
      <c r="M3" t="s">
        <v>7</v>
      </c>
      <c r="N3">
        <f>COUNTIF(F6:F1005,"Win")</f>
        <v>0</v>
      </c>
    </row>
    <row r="4" spans="1:14" x14ac:dyDescent="0.35">
      <c r="A4" s="7"/>
      <c r="J4" s="2" t="s">
        <v>14</v>
      </c>
      <c r="K4">
        <f>COUNTIF(F6:F1005,"Loss")</f>
        <v>0</v>
      </c>
    </row>
    <row r="5" spans="1:14" x14ac:dyDescent="0.3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8"/>
      <c r="J5" s="2" t="s">
        <v>15</v>
      </c>
      <c r="K5">
        <f>IF(K2=0,0,K3/K2)</f>
        <v>0</v>
      </c>
      <c r="M5" t="s">
        <v>8</v>
      </c>
      <c r="N5">
        <f>COUNTIF(F6:F1005,"Loss")</f>
        <v>0</v>
      </c>
    </row>
    <row r="6" spans="1:14" x14ac:dyDescent="0.35">
      <c r="A6" s="4"/>
      <c r="B6" s="7"/>
      <c r="C6" s="7"/>
      <c r="D6" s="7"/>
      <c r="E6" s="7"/>
      <c r="F6" s="7"/>
      <c r="G6" s="7"/>
      <c r="J6" s="2" t="s">
        <v>16</v>
      </c>
      <c r="K6">
        <f>SUM(G6:G1005)</f>
        <v>0</v>
      </c>
    </row>
    <row r="7" spans="1:14" x14ac:dyDescent="0.35">
      <c r="A7" s="4"/>
      <c r="B7" s="7"/>
      <c r="C7" s="7"/>
      <c r="D7" s="7"/>
      <c r="E7" s="7"/>
      <c r="F7" s="7"/>
      <c r="G7" s="7"/>
      <c r="J7" s="2"/>
    </row>
    <row r="8" spans="1:14" x14ac:dyDescent="0.35">
      <c r="A8" s="4"/>
      <c r="B8" s="7"/>
      <c r="C8" s="7"/>
      <c r="D8" s="7"/>
      <c r="E8" s="7"/>
      <c r="F8" s="7"/>
      <c r="G8" s="7"/>
    </row>
    <row r="9" spans="1:14" x14ac:dyDescent="0.35">
      <c r="A9" s="4"/>
      <c r="B9" s="7"/>
      <c r="C9" s="7"/>
      <c r="D9" s="7"/>
      <c r="E9" s="7"/>
      <c r="F9" s="7"/>
      <c r="G9" s="7"/>
    </row>
    <row r="10" spans="1:14" x14ac:dyDescent="0.35">
      <c r="A10" s="4"/>
      <c r="B10" s="7"/>
      <c r="C10" s="7"/>
      <c r="D10" s="7"/>
      <c r="E10" s="7"/>
      <c r="F10" s="7"/>
      <c r="G10" s="7"/>
    </row>
    <row r="11" spans="1:14" x14ac:dyDescent="0.35">
      <c r="A11" s="4"/>
      <c r="B11" s="7"/>
      <c r="C11" s="7"/>
      <c r="D11" s="7"/>
      <c r="E11" s="7"/>
      <c r="F11" s="7"/>
      <c r="G11" s="7"/>
    </row>
    <row r="12" spans="1:14" x14ac:dyDescent="0.35">
      <c r="A12" s="4"/>
      <c r="B12" s="7"/>
      <c r="C12" s="7"/>
      <c r="D12" s="7"/>
      <c r="E12" s="7"/>
      <c r="F12" s="7"/>
      <c r="G12" s="7"/>
    </row>
    <row r="13" spans="1:14" x14ac:dyDescent="0.35">
      <c r="A13" s="4"/>
      <c r="B13" s="7"/>
      <c r="C13" s="7"/>
      <c r="D13" s="7"/>
      <c r="E13" s="7"/>
      <c r="F13" s="7"/>
      <c r="G13" s="7"/>
    </row>
    <row r="14" spans="1:14" x14ac:dyDescent="0.35">
      <c r="A14" s="4"/>
      <c r="B14" s="7"/>
      <c r="C14" s="7"/>
      <c r="D14" s="7"/>
      <c r="E14" s="7"/>
      <c r="F14" s="7"/>
      <c r="G14" s="7"/>
    </row>
    <row r="15" spans="1:14" x14ac:dyDescent="0.35">
      <c r="A15" s="4"/>
      <c r="B15" s="7"/>
      <c r="C15" s="7"/>
      <c r="D15" s="7"/>
      <c r="E15" s="7"/>
      <c r="F15" s="7"/>
      <c r="G15" s="7"/>
    </row>
    <row r="16" spans="1:14" x14ac:dyDescent="0.35">
      <c r="A16" s="4"/>
      <c r="B16" s="7"/>
      <c r="C16" s="7"/>
      <c r="D16" s="7"/>
      <c r="E16" s="7"/>
      <c r="F16" s="7"/>
      <c r="G16" s="7"/>
    </row>
    <row r="17" spans="1:7" x14ac:dyDescent="0.35">
      <c r="A17" s="4"/>
      <c r="B17" s="7"/>
      <c r="C17" s="7"/>
      <c r="D17" s="7"/>
      <c r="E17" s="7"/>
      <c r="F17" s="7"/>
      <c r="G17" s="7"/>
    </row>
    <row r="18" spans="1:7" x14ac:dyDescent="0.35">
      <c r="A18" s="4"/>
      <c r="B18" s="7"/>
      <c r="C18" s="7"/>
      <c r="D18" s="7"/>
      <c r="E18" s="7"/>
      <c r="F18" s="7"/>
      <c r="G18" s="7"/>
    </row>
    <row r="19" spans="1:7" x14ac:dyDescent="0.35">
      <c r="A19" s="4"/>
      <c r="B19" s="7"/>
      <c r="C19" s="7"/>
      <c r="D19" s="7"/>
      <c r="E19" s="7"/>
      <c r="F19" s="7"/>
      <c r="G19" s="7"/>
    </row>
    <row r="20" spans="1:7" x14ac:dyDescent="0.35">
      <c r="A20" s="4"/>
      <c r="B20" s="7"/>
      <c r="C20" s="7"/>
      <c r="D20" s="7"/>
      <c r="E20" s="7"/>
      <c r="F20" s="7"/>
      <c r="G20" s="7"/>
    </row>
    <row r="21" spans="1:7" x14ac:dyDescent="0.35">
      <c r="A21" s="4"/>
      <c r="B21" s="7"/>
      <c r="C21" s="7"/>
      <c r="D21" s="7"/>
      <c r="E21" s="7"/>
      <c r="F21" s="7"/>
      <c r="G21" s="7"/>
    </row>
    <row r="22" spans="1:7" x14ac:dyDescent="0.35">
      <c r="A22" s="4"/>
      <c r="B22" s="7"/>
      <c r="C22" s="7"/>
      <c r="D22" s="7"/>
      <c r="E22" s="7"/>
      <c r="F22" s="7"/>
      <c r="G22" s="7"/>
    </row>
    <row r="23" spans="1:7" x14ac:dyDescent="0.35">
      <c r="A23" s="4"/>
    </row>
    <row r="24" spans="1:7" x14ac:dyDescent="0.35">
      <c r="A24" s="7"/>
    </row>
    <row r="25" spans="1:7" x14ac:dyDescent="0.35">
      <c r="A25" s="7"/>
    </row>
    <row r="26" spans="1:7" x14ac:dyDescent="0.35">
      <c r="A26" s="7"/>
    </row>
    <row r="27" spans="1:7" x14ac:dyDescent="0.35">
      <c r="A27" s="7"/>
    </row>
  </sheetData>
  <mergeCells count="1">
    <mergeCell ref="A1:H1"/>
  </mergeCells>
  <conditionalFormatting sqref="F6:F27">
    <cfRule type="cellIs" dxfId="2" priority="1" operator="equal">
      <formula>"Win"</formula>
    </cfRule>
    <cfRule type="cellIs" dxfId="1" priority="2" operator="equal">
      <formula>"Loss"</formula>
    </cfRule>
    <cfRule type="cellIs" dxfId="0" priority="3" operator="equal">
      <formula>"Breakeven"</formula>
    </cfRule>
  </conditionalFormatting>
  <dataValidations count="3">
    <dataValidation type="list" allowBlank="1" showInputMessage="1" showErrorMessage="1" sqref="F6:F27" xr:uid="{2EA4E0B4-5AC9-4051-8110-359CFB874413}">
      <formula1>"Win,Breakeven,Loss"</formula1>
    </dataValidation>
    <dataValidation type="list" allowBlank="1" showInputMessage="1" showErrorMessage="1" sqref="E6:E27" xr:uid="{DBECE134-F84C-4470-929F-C6E3334FF6FA}">
      <formula1>"Buy,Sell"</formula1>
    </dataValidation>
    <dataValidation type="list" allowBlank="1" showInputMessage="1" showErrorMessage="1" sqref="D6:D27" xr:uid="{D20794B4-DF70-431F-8CCD-70AC442FFA7E}">
      <formula1>"Asia,London,NYC,Other"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MARCH</vt:lpstr>
      <vt:lpstr>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Suchith Gowda</dc:creator>
  <cp:lastModifiedBy>Suchith Gowda</cp:lastModifiedBy>
  <dcterms:created xsi:type="dcterms:W3CDTF">2025-11-12T07:56:28Z</dcterms:created>
  <dcterms:modified xsi:type="dcterms:W3CDTF">2026-07-07T07:55:48Z</dcterms:modified>
</cp:coreProperties>
</file>